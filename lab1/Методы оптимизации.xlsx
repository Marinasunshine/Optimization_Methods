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c465375c618e16/Desktop/"/>
    </mc:Choice>
  </mc:AlternateContent>
  <xr:revisionPtr revIDLastSave="1" documentId="8_{3A945590-9F9B-45EB-9B98-D77565F44CC9}" xr6:coauthVersionLast="47" xr6:coauthVersionMax="47" xr10:uidLastSave="{79FE4A41-A807-49FA-9AE0-46C637F89774}"/>
  <bookViews>
    <workbookView xWindow="-108" yWindow="-108" windowWidth="23256" windowHeight="12456" activeTab="1" xr2:uid="{4AF2332C-02EF-44FF-84C5-8D142440C916}"/>
  </bookViews>
  <sheets>
    <sheet name="Лист1" sheetId="1" r:id="rId1"/>
    <sheet name="Лист2" sheetId="2" r:id="rId2"/>
  </sheets>
  <definedNames>
    <definedName name="solver_adj" localSheetId="0" hidden="1">Лист1!$A$2:$D$2</definedName>
    <definedName name="solver_adj" localSheetId="1" hidden="1">Лист2!$B$2:$E$2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Лист1!$B$5</definedName>
    <definedName name="solver_lhs1" localSheetId="1" hidden="1">Лист2!$H$4</definedName>
    <definedName name="solver_lhs2" localSheetId="0" hidden="1">Лист1!$B$6</definedName>
    <definedName name="solver_lhs2" localSheetId="1" hidden="1">Лист2!$H$5</definedName>
    <definedName name="solver_lhs3" localSheetId="0" hidden="1">Лист1!$B$7</definedName>
    <definedName name="solver_lhs3" localSheetId="1" hidden="1">Лист2!$H$6</definedName>
    <definedName name="solver_lhs4" localSheetId="0" hidden="1">Лист1!$B$7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Лист1!$B$4</definedName>
    <definedName name="solver_opt" localSheetId="1" hidden="1">Лист2!$H$3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1</definedName>
    <definedName name="solver_rel1" localSheetId="1" hidden="1">1</definedName>
    <definedName name="solver_rel2" localSheetId="0" hidden="1">2</definedName>
    <definedName name="solver_rel2" localSheetId="1" hidden="1">2</definedName>
    <definedName name="solver_rel3" localSheetId="0" hidden="1">3</definedName>
    <definedName name="solver_rel3" localSheetId="1" hidden="1">3</definedName>
    <definedName name="solver_rel4" localSheetId="0" hidden="1">3</definedName>
    <definedName name="solver_rhs1" localSheetId="0" hidden="1">7</definedName>
    <definedName name="solver_rhs1" localSheetId="1" hidden="1">Лист2!$G$4</definedName>
    <definedName name="solver_rhs2" localSheetId="0" hidden="1">5</definedName>
    <definedName name="solver_rhs2" localSheetId="1" hidden="1">Лист2!$G$5</definedName>
    <definedName name="solver_rhs3" localSheetId="0" hidden="1">3</definedName>
    <definedName name="solver_rhs3" localSheetId="1" hidden="1">Лист2!$G$6</definedName>
    <definedName name="solver_rhs4" localSheetId="0" hidden="1">3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B7" i="1"/>
  <c r="B6" i="1"/>
  <c r="B5" i="1"/>
  <c r="B4" i="1"/>
</calcChain>
</file>

<file path=xl/sharedStrings.xml><?xml version="1.0" encoding="utf-8"?>
<sst xmlns="http://schemas.openxmlformats.org/spreadsheetml/2006/main" count="24" uniqueCount="24">
  <si>
    <t>X1</t>
  </si>
  <si>
    <t>X2</t>
  </si>
  <si>
    <t>X3</t>
  </si>
  <si>
    <t>x4</t>
  </si>
  <si>
    <t>X4</t>
  </si>
  <si>
    <t>Z =</t>
  </si>
  <si>
    <t>1 огр</t>
  </si>
  <si>
    <t>2 огр</t>
  </si>
  <si>
    <t>3 огр</t>
  </si>
  <si>
    <t>x1</t>
  </si>
  <si>
    <t>x2</t>
  </si>
  <si>
    <t>x3</t>
  </si>
  <si>
    <t>Знак</t>
  </si>
  <si>
    <t>Значения переменных</t>
  </si>
  <si>
    <t>Коэффициенты Z</t>
  </si>
  <si>
    <t>Ограничение 1</t>
  </si>
  <si>
    <t>&lt;=</t>
  </si>
  <si>
    <t>Ограничение 2</t>
  </si>
  <si>
    <t>=</t>
  </si>
  <si>
    <t>Ограничение 3</t>
  </si>
  <si>
    <t>&gt;=</t>
  </si>
  <si>
    <t>&gt;</t>
  </si>
  <si>
    <t>min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</si>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</sst>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8AA0-4DF6-46BF-B0FE-8D530C624A69}">
  <dimension ref="A1:D7"/>
  <sheetViews>
    <sheetView workbookViewId="0">
      <selection activeCell="C8" sqref="C8"/>
    </sheetView>
  </sheetViews>
  <sheetFormatPr defaultRowHeight="14.4" x14ac:dyDescent="0.3"/>
  <cols>
    <col min="2" max="2" width="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">
      <c r="A2">
        <v>2.5</v>
      </c>
      <c r="B2">
        <v>0</v>
      </c>
      <c r="C2">
        <v>4.5</v>
      </c>
      <c r="D2">
        <v>0.5</v>
      </c>
    </row>
    <row r="4" spans="1:4" x14ac:dyDescent="0.3">
      <c r="A4" t="s">
        <v>5</v>
      </c>
      <c r="B4">
        <f>2*A2 + 3*B2 + C2 + 4*D2</f>
        <v>11.5</v>
      </c>
    </row>
    <row r="5" spans="1:4" x14ac:dyDescent="0.3">
      <c r="A5" t="s">
        <v>6</v>
      </c>
      <c r="B5">
        <f>A2 + 2*B2 + C2</f>
        <v>7</v>
      </c>
    </row>
    <row r="6" spans="1:4" x14ac:dyDescent="0.3">
      <c r="A6" t="s">
        <v>7</v>
      </c>
      <c r="B6">
        <f>B2 + C2 + D2</f>
        <v>5</v>
      </c>
    </row>
    <row r="7" spans="1:4" x14ac:dyDescent="0.3">
      <c r="A7" t="s">
        <v>8</v>
      </c>
      <c r="B7">
        <f>A2 + D2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A63D-9A83-4936-B50D-1AB1C7C630B3}">
  <dimension ref="A1:H6"/>
  <sheetViews>
    <sheetView tabSelected="1" workbookViewId="0">
      <selection activeCell="H10" sqref="H10"/>
    </sheetView>
  </sheetViews>
  <sheetFormatPr defaultRowHeight="14.4" x14ac:dyDescent="0.3"/>
  <cols>
    <col min="1" max="1" width="20.88671875" customWidth="1"/>
    <col min="2" max="7" width="18.44140625" customWidth="1"/>
    <col min="8" max="8" width="13.33203125" customWidth="1"/>
  </cols>
  <sheetData>
    <row r="1" spans="1:8" x14ac:dyDescent="0.3">
      <c r="A1" s="2"/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  <c r="G1" s="2"/>
      <c r="H1" s="2" t="s">
        <v>23</v>
      </c>
    </row>
    <row r="2" spans="1:8" x14ac:dyDescent="0.3">
      <c r="A2" s="2" t="s">
        <v>13</v>
      </c>
      <c r="B2" s="3">
        <v>0</v>
      </c>
      <c r="C2" s="3">
        <v>0</v>
      </c>
      <c r="D2" s="3">
        <v>0</v>
      </c>
      <c r="E2" s="3">
        <v>0</v>
      </c>
      <c r="F2" s="2"/>
      <c r="G2" s="2"/>
      <c r="H2" s="2"/>
    </row>
    <row r="3" spans="1:8" x14ac:dyDescent="0.3">
      <c r="A3" s="2" t="s">
        <v>14</v>
      </c>
      <c r="B3" s="2">
        <v>2</v>
      </c>
      <c r="C3" s="2">
        <v>3</v>
      </c>
      <c r="D3" s="2">
        <v>1</v>
      </c>
      <c r="E3" s="2">
        <v>4</v>
      </c>
      <c r="F3" s="2" t="s">
        <v>21</v>
      </c>
      <c r="G3" s="2" t="s">
        <v>22</v>
      </c>
      <c r="H3" s="3">
        <f>SUMPRODUCT(B2:E2, B3:E3)</f>
        <v>0</v>
      </c>
    </row>
    <row r="4" spans="1:8" x14ac:dyDescent="0.3">
      <c r="A4" s="2" t="s">
        <v>15</v>
      </c>
      <c r="B4" s="2">
        <v>1</v>
      </c>
      <c r="C4" s="2">
        <v>2</v>
      </c>
      <c r="D4" s="2">
        <v>1</v>
      </c>
      <c r="E4" s="2">
        <v>0</v>
      </c>
      <c r="F4" s="2" t="s">
        <v>16</v>
      </c>
      <c r="G4" s="2">
        <v>7</v>
      </c>
      <c r="H4" s="2">
        <f>SUMPRODUCT(B2:E2, B4:E4)</f>
        <v>0</v>
      </c>
    </row>
    <row r="5" spans="1:8" x14ac:dyDescent="0.3">
      <c r="A5" s="2" t="s">
        <v>17</v>
      </c>
      <c r="B5" s="2">
        <v>0</v>
      </c>
      <c r="C5" s="2">
        <v>1</v>
      </c>
      <c r="D5" s="2">
        <v>1</v>
      </c>
      <c r="E5" s="2">
        <v>1</v>
      </c>
      <c r="F5" s="2" t="s">
        <v>18</v>
      </c>
      <c r="G5" s="2">
        <v>5</v>
      </c>
      <c r="H5" s="2">
        <f>SUMPRODUCT(B2:E2, B5:E5)</f>
        <v>0</v>
      </c>
    </row>
    <row r="6" spans="1:8" x14ac:dyDescent="0.3">
      <c r="A6" s="2" t="s">
        <v>19</v>
      </c>
      <c r="B6" s="2">
        <v>1</v>
      </c>
      <c r="C6" s="2">
        <v>0</v>
      </c>
      <c r="D6" s="2">
        <v>0</v>
      </c>
      <c r="E6" s="2">
        <v>1</v>
      </c>
      <c r="F6" s="2" t="s">
        <v>20</v>
      </c>
      <c r="G6" s="2">
        <v>3</v>
      </c>
      <c r="H6" s="2">
        <f>SUMPRODUCT(B2:E2, B6:E6)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2026-09-07T19:36:40Z</dcterms:created>
  <dcterms:modified xsi:type="dcterms:W3CDTF">2026-09-29T20:52:10Z</dcterms:modified>
</cp:coreProperties>
</file>